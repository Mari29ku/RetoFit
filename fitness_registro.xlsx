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tepjf-my.sharepoint.com/personal/marissa_martinezg_te_gob_mx/Documents/marissa.martinezg/Downloads/reto/"/>
    </mc:Choice>
  </mc:AlternateContent>
  <xr:revisionPtr revIDLastSave="201" documentId="11_70DB4BDF8D9753F325A0235AB6AABCFDF034A14B" xr6:coauthVersionLast="47" xr6:coauthVersionMax="47" xr10:uidLastSave="{A2480507-6316-4F16-86FB-D4E3C4A0B034}"/>
  <bookViews>
    <workbookView xWindow="-120" yWindow="-120" windowWidth="20730" windowHeight="11160" xr2:uid="{00000000-000D-0000-FFFF-FFFF00000000}"/>
  </bookViews>
  <sheets>
    <sheet name="Registro" sheetId="1" r:id="rId1"/>
    <sheet name="Multa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2" l="1"/>
  <c r="F3" i="2" s="1"/>
  <c r="D4" i="2"/>
  <c r="F4" i="2" s="1"/>
  <c r="D5" i="2"/>
  <c r="F5" i="2" s="1"/>
  <c r="D6" i="2"/>
  <c r="F6" i="2" s="1"/>
  <c r="D7" i="2"/>
  <c r="F7" i="2" s="1"/>
  <c r="D8" i="2"/>
  <c r="F8" i="2" s="1"/>
  <c r="D9" i="2"/>
  <c r="F9" i="2" s="1"/>
  <c r="C4" i="2"/>
  <c r="C5" i="2"/>
  <c r="C6" i="2"/>
  <c r="C7" i="2"/>
  <c r="C8" i="2"/>
  <c r="C9" i="2"/>
  <c r="C4" i="1"/>
  <c r="C5" i="1"/>
  <c r="C6" i="1"/>
  <c r="C7" i="1"/>
  <c r="C8" i="1"/>
  <c r="C9" i="1"/>
  <c r="C3" i="2"/>
  <c r="C3" i="1"/>
</calcChain>
</file>

<file path=xl/sharedStrings.xml><?xml version="1.0" encoding="utf-8"?>
<sst xmlns="http://schemas.openxmlformats.org/spreadsheetml/2006/main" count="98" uniqueCount="42">
  <si>
    <t>REGISTRO DIARIO  (SI = realizo | NO = no realizo)</t>
  </si>
  <si>
    <t>#</t>
  </si>
  <si>
    <t>Participante</t>
  </si>
  <si>
    <t>Dias OK</t>
  </si>
  <si>
    <t>RESUMEN DE MULTAS - JULIO 2025</t>
  </si>
  <si>
    <t>Dias registrados</t>
  </si>
  <si>
    <t>Dias sin actividad</t>
  </si>
  <si>
    <t>Dias obligatorios</t>
  </si>
  <si>
    <t>Multa total ($)</t>
  </si>
  <si>
    <t>* 4 actividades/semana x 4 semanas = 16 dias obligatorios | Multa: $100 por dia sin actividad</t>
  </si>
  <si>
    <t>Marissa</t>
  </si>
  <si>
    <t>Lety</t>
  </si>
  <si>
    <t>Dafne</t>
  </si>
  <si>
    <t>Alex</t>
  </si>
  <si>
    <t>José Carlos</t>
  </si>
  <si>
    <t>René</t>
  </si>
  <si>
    <t>Fer</t>
  </si>
  <si>
    <t>SI</t>
  </si>
  <si>
    <t>NO</t>
  </si>
  <si>
    <t>Lun 22/06</t>
  </si>
  <si>
    <t>Vie 26/06</t>
  </si>
  <si>
    <t>Mier 24/06</t>
  </si>
  <si>
    <t>Jue 25/06</t>
  </si>
  <si>
    <t>Sab 27/06</t>
  </si>
  <si>
    <t>Dom 28/06</t>
  </si>
  <si>
    <t>Lun 29/06</t>
  </si>
  <si>
    <t>Mar 30/06</t>
  </si>
  <si>
    <t>Mier 01/07</t>
  </si>
  <si>
    <t>Jue 02/07</t>
  </si>
  <si>
    <t>Vie 03/07</t>
  </si>
  <si>
    <t>Sab 04/07</t>
  </si>
  <si>
    <t>Dom 05/07</t>
  </si>
  <si>
    <t>Lun 06/07</t>
  </si>
  <si>
    <t>Mar 07/07</t>
  </si>
  <si>
    <t>Mie 08/07</t>
  </si>
  <si>
    <t>Jue 09/07</t>
  </si>
  <si>
    <t>Vie 10/07</t>
  </si>
  <si>
    <t>Sab 11/07</t>
  </si>
  <si>
    <t>Dom 12/07</t>
  </si>
  <si>
    <t>Lun 13/07</t>
  </si>
  <si>
    <t>Mart 23/06</t>
  </si>
  <si>
    <t>FITNESS OFFICE CHALLENGE - JUNIO/JULIO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</si>
</sst>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"/>
  </numFmts>
  <fonts count="11" x14ac:knownFonts="1">
    <font>
      <sz val="11"/>
      <color theme="1"/>
      <name val="Calibri"/>
      <family val="2"/>
      <scheme val="minor"/>
    </font>
    <font>
      <b/>
      <sz val="14"/>
      <color rgb="FFFFFFFF"/>
      <name val="Calibri"/>
    </font>
    <font>
      <b/>
      <sz val="10"/>
      <color rgb="FFFFFFFF"/>
      <name val="Calibri"/>
    </font>
    <font>
      <b/>
      <sz val="9"/>
      <color rgb="FFFFFFFF"/>
      <name val="Calibri"/>
    </font>
    <font>
      <b/>
      <sz val="10"/>
      <color rgb="FF2D2D6B"/>
      <name val="Calibri"/>
    </font>
    <font>
      <sz val="10"/>
      <name val="Calibri"/>
    </font>
    <font>
      <b/>
      <sz val="13"/>
      <color rgb="FFFFFFFF"/>
      <name val="Calibri"/>
    </font>
    <font>
      <b/>
      <sz val="10"/>
      <color rgb="FF9C0006"/>
      <name val="Calibri"/>
    </font>
    <font>
      <i/>
      <sz val="9"/>
      <color rgb="FF666666"/>
      <name val="Calibri"/>
    </font>
    <font>
      <sz val="8"/>
      <name val="Calibri"/>
      <family val="2"/>
      <scheme val="minor"/>
    </font>
    <font>
      <b/>
      <sz val="9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2D2D6B"/>
      </patternFill>
    </fill>
    <fill>
      <patternFill patternType="solid">
        <fgColor rgb="FF5C5CA8"/>
      </patternFill>
    </fill>
    <fill>
      <patternFill patternType="solid">
        <fgColor rgb="FFF2F2FB"/>
      </patternFill>
    </fill>
    <fill>
      <patternFill patternType="solid">
        <fgColor rgb="FFFFFFFF"/>
      </patternFill>
    </fill>
    <fill>
      <patternFill patternType="solid">
        <fgColor theme="6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3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left" vertical="center"/>
    </xf>
    <xf numFmtId="0" fontId="5" fillId="4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left" vertical="center"/>
    </xf>
    <xf numFmtId="0" fontId="5" fillId="5" borderId="1" xfId="0" applyFont="1" applyFill="1" applyBorder="1" applyAlignment="1">
      <alignment horizontal="center" vertical="center"/>
    </xf>
    <xf numFmtId="164" fontId="7" fillId="4" borderId="1" xfId="0" applyNumberFormat="1" applyFont="1" applyFill="1" applyBorder="1" applyAlignment="1">
      <alignment horizontal="center" vertical="center"/>
    </xf>
    <xf numFmtId="0" fontId="5" fillId="5" borderId="2" xfId="0" applyFont="1" applyFill="1" applyBorder="1" applyAlignment="1">
      <alignment horizontal="left" vertical="center"/>
    </xf>
    <xf numFmtId="0" fontId="5" fillId="4" borderId="2" xfId="0" applyFont="1" applyFill="1" applyBorder="1" applyAlignment="1">
      <alignment horizontal="left" vertical="center"/>
    </xf>
    <xf numFmtId="14" fontId="3" fillId="3" borderId="1" xfId="0" applyNumberFormat="1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/>
    </xf>
    <xf numFmtId="14" fontId="10" fillId="6" borderId="1" xfId="0" applyNumberFormat="1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0" fillId="0" borderId="0" xfId="0"/>
    <xf numFmtId="0" fontId="2" fillId="2" borderId="0" xfId="0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/>
    </xf>
    <xf numFmtId="0" fontId="8" fillId="0" borderId="0" xfId="0" applyFont="1"/>
  </cellXfs>
  <cellStyles count="1">
    <cellStyle name="Normal" xfId="0" builtinId="0"/>
  </cellStyles>
  <dxfs count="2"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276221"/>
      </font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9"/>
  <sheetViews>
    <sheetView showGridLines="0" tabSelected="1" workbookViewId="0">
      <pane xSplit="2" ySplit="2" topLeftCell="C3" activePane="bottomRight" state="frozen"/>
      <selection pane="topRight"/>
      <selection pane="bottomLeft"/>
      <selection pane="bottomRight" activeCell="F11" sqref="F11"/>
    </sheetView>
  </sheetViews>
  <sheetFormatPr baseColWidth="10" defaultColWidth="9.140625" defaultRowHeight="15" x14ac:dyDescent="0.25"/>
  <cols>
    <col min="1" max="1" width="5" customWidth="1"/>
    <col min="2" max="2" width="22" customWidth="1"/>
    <col min="3" max="3" width="10" customWidth="1"/>
    <col min="4" max="4" width="9.28515625" bestFit="1" customWidth="1"/>
    <col min="5" max="5" width="12" customWidth="1"/>
    <col min="6" max="7" width="9.28515625" bestFit="1" customWidth="1"/>
    <col min="8" max="8" width="12.140625" customWidth="1"/>
    <col min="9" max="9" width="11.7109375" customWidth="1"/>
    <col min="10" max="14" width="9.28515625" bestFit="1" customWidth="1"/>
    <col min="15" max="25" width="8" customWidth="1"/>
  </cols>
  <sheetData>
    <row r="1" spans="1:25" ht="27.95" customHeight="1" x14ac:dyDescent="0.25">
      <c r="A1" s="14" t="s">
        <v>41</v>
      </c>
      <c r="B1" s="15"/>
      <c r="C1" s="15"/>
      <c r="D1" s="16" t="s">
        <v>0</v>
      </c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</row>
    <row r="2" spans="1:25" ht="36" customHeight="1" x14ac:dyDescent="0.25">
      <c r="A2" s="1" t="s">
        <v>1</v>
      </c>
      <c r="B2" s="1" t="s">
        <v>2</v>
      </c>
      <c r="C2" s="1" t="s">
        <v>3</v>
      </c>
      <c r="D2" s="13" t="s">
        <v>19</v>
      </c>
      <c r="E2" s="13" t="s">
        <v>40</v>
      </c>
      <c r="F2" s="13" t="s">
        <v>21</v>
      </c>
      <c r="G2" s="13" t="s">
        <v>22</v>
      </c>
      <c r="H2" s="13" t="s">
        <v>20</v>
      </c>
      <c r="I2" s="13" t="s">
        <v>23</v>
      </c>
      <c r="J2" s="13" t="s">
        <v>24</v>
      </c>
      <c r="K2" s="11" t="s">
        <v>25</v>
      </c>
      <c r="L2" s="11" t="s">
        <v>26</v>
      </c>
      <c r="M2" s="11" t="s">
        <v>27</v>
      </c>
      <c r="N2" s="11" t="s">
        <v>28</v>
      </c>
      <c r="O2" s="11" t="s">
        <v>29</v>
      </c>
      <c r="P2" s="11" t="s">
        <v>30</v>
      </c>
      <c r="Q2" s="11" t="s">
        <v>31</v>
      </c>
      <c r="R2" s="11" t="s">
        <v>32</v>
      </c>
      <c r="S2" s="11" t="s">
        <v>33</v>
      </c>
      <c r="T2" s="11" t="s">
        <v>34</v>
      </c>
      <c r="U2" s="11" t="s">
        <v>35</v>
      </c>
      <c r="V2" s="11" t="s">
        <v>36</v>
      </c>
      <c r="W2" s="11" t="s">
        <v>37</v>
      </c>
      <c r="X2" s="11" t="s">
        <v>38</v>
      </c>
      <c r="Y2" s="11" t="s">
        <v>39</v>
      </c>
    </row>
    <row r="3" spans="1:25" ht="21.95" customHeight="1" x14ac:dyDescent="0.25">
      <c r="A3" s="2">
        <v>1</v>
      </c>
      <c r="B3" s="3" t="s">
        <v>10</v>
      </c>
      <c r="C3" s="2">
        <f>COUNTIF(D3:Y3,"SI")</f>
        <v>4</v>
      </c>
      <c r="D3" s="12" t="s">
        <v>17</v>
      </c>
      <c r="E3" s="12" t="s">
        <v>17</v>
      </c>
      <c r="F3" s="12" t="s">
        <v>18</v>
      </c>
      <c r="G3" s="12" t="s">
        <v>18</v>
      </c>
      <c r="H3" s="12" t="s">
        <v>18</v>
      </c>
      <c r="I3" s="12" t="s">
        <v>17</v>
      </c>
      <c r="J3" s="12" t="s">
        <v>17</v>
      </c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spans="1:25" ht="21.95" customHeight="1" x14ac:dyDescent="0.25">
      <c r="A4" s="5">
        <v>2</v>
      </c>
      <c r="B4" s="6" t="s">
        <v>11</v>
      </c>
      <c r="C4" s="2">
        <f t="shared" ref="C4:C9" si="0">COUNTIF(D4:Y4,"SI")</f>
        <v>4</v>
      </c>
      <c r="D4" s="12" t="s">
        <v>18</v>
      </c>
      <c r="E4" s="12" t="s">
        <v>17</v>
      </c>
      <c r="F4" s="12" t="s">
        <v>17</v>
      </c>
      <c r="G4" s="12" t="s">
        <v>17</v>
      </c>
      <c r="H4" s="12" t="s">
        <v>18</v>
      </c>
      <c r="I4" s="12" t="s">
        <v>18</v>
      </c>
      <c r="J4" s="12" t="s">
        <v>17</v>
      </c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spans="1:25" ht="21.95" customHeight="1" x14ac:dyDescent="0.25">
      <c r="A5" s="2">
        <v>3</v>
      </c>
      <c r="B5" s="3" t="s">
        <v>12</v>
      </c>
      <c r="C5" s="2">
        <f t="shared" si="0"/>
        <v>4</v>
      </c>
      <c r="D5" s="12" t="s">
        <v>17</v>
      </c>
      <c r="E5" s="12" t="s">
        <v>18</v>
      </c>
      <c r="F5" s="12" t="s">
        <v>17</v>
      </c>
      <c r="G5" s="12" t="s">
        <v>17</v>
      </c>
      <c r="H5" s="12" t="s">
        <v>18</v>
      </c>
      <c r="I5" s="12" t="s">
        <v>17</v>
      </c>
      <c r="J5" s="12" t="s">
        <v>18</v>
      </c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 spans="1:25" ht="21.95" customHeight="1" x14ac:dyDescent="0.25">
      <c r="A6" s="5">
        <v>4</v>
      </c>
      <c r="B6" s="6" t="s">
        <v>13</v>
      </c>
      <c r="C6" s="2">
        <f t="shared" si="0"/>
        <v>0</v>
      </c>
      <c r="D6" s="12" t="s">
        <v>18</v>
      </c>
      <c r="E6" s="12" t="s">
        <v>18</v>
      </c>
      <c r="F6" s="12" t="s">
        <v>18</v>
      </c>
      <c r="G6" s="12" t="s">
        <v>18</v>
      </c>
      <c r="H6" s="12" t="s">
        <v>18</v>
      </c>
      <c r="I6" s="12" t="s">
        <v>18</v>
      </c>
      <c r="J6" s="12" t="s">
        <v>18</v>
      </c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 spans="1:25" ht="21.95" customHeight="1" x14ac:dyDescent="0.25">
      <c r="A7" s="2">
        <v>5</v>
      </c>
      <c r="B7" s="3" t="s">
        <v>14</v>
      </c>
      <c r="C7" s="2">
        <f t="shared" si="0"/>
        <v>4</v>
      </c>
      <c r="D7" s="12" t="s">
        <v>18</v>
      </c>
      <c r="E7" s="12" t="s">
        <v>17</v>
      </c>
      <c r="F7" s="12" t="s">
        <v>18</v>
      </c>
      <c r="G7" s="12" t="s">
        <v>18</v>
      </c>
      <c r="H7" s="12" t="s">
        <v>17</v>
      </c>
      <c r="I7" s="12" t="s">
        <v>17</v>
      </c>
      <c r="J7" s="12" t="s">
        <v>17</v>
      </c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</row>
    <row r="8" spans="1:25" x14ac:dyDescent="0.25">
      <c r="A8" s="2">
        <v>6</v>
      </c>
      <c r="B8" s="3" t="s">
        <v>15</v>
      </c>
      <c r="C8" s="4">
        <f t="shared" si="0"/>
        <v>2</v>
      </c>
      <c r="D8" s="12" t="s">
        <v>18</v>
      </c>
      <c r="E8" s="12" t="s">
        <v>18</v>
      </c>
      <c r="F8" s="12" t="s">
        <v>17</v>
      </c>
      <c r="G8" s="12" t="s">
        <v>17</v>
      </c>
      <c r="H8" s="12" t="s">
        <v>18</v>
      </c>
      <c r="I8" s="12" t="s">
        <v>18</v>
      </c>
      <c r="J8" s="12" t="s">
        <v>18</v>
      </c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</row>
    <row r="9" spans="1:25" x14ac:dyDescent="0.25">
      <c r="A9" s="2">
        <v>7</v>
      </c>
      <c r="B9" s="3" t="s">
        <v>16</v>
      </c>
      <c r="C9" s="4">
        <f t="shared" si="0"/>
        <v>3</v>
      </c>
      <c r="D9" s="12" t="s">
        <v>18</v>
      </c>
      <c r="E9" s="12" t="s">
        <v>17</v>
      </c>
      <c r="F9" s="12" t="s">
        <v>17</v>
      </c>
      <c r="G9" s="12" t="s">
        <v>17</v>
      </c>
      <c r="H9" s="12" t="s">
        <v>18</v>
      </c>
      <c r="I9" s="12" t="s">
        <v>18</v>
      </c>
      <c r="J9" s="12" t="s">
        <v>18</v>
      </c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</row>
  </sheetData>
  <mergeCells count="2">
    <mergeCell ref="A1:C1"/>
    <mergeCell ref="D1:Y1"/>
  </mergeCells>
  <phoneticPr fontId="9" type="noConversion"/>
  <conditionalFormatting sqref="D3:Y7 C8:Y9">
    <cfRule type="cellIs" dxfId="1" priority="1" operator="equal">
      <formula>"SI"</formula>
    </cfRule>
    <cfRule type="cellIs" dxfId="0" priority="2" operator="equal">
      <formula>"NO"</formula>
    </cfRule>
  </conditionalFormatting>
  <pageMargins left="0.75" right="0.75" top="1" bottom="1" header="0.5" footer="0.5"/>
  <ignoredErrors>
    <ignoredError sqref="L2" twoDigitTextYear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4"/>
  <sheetViews>
    <sheetView showGridLines="0" workbookViewId="0">
      <selection activeCell="M5" sqref="M5"/>
    </sheetView>
  </sheetViews>
  <sheetFormatPr baseColWidth="10" defaultColWidth="9.140625" defaultRowHeight="15" x14ac:dyDescent="0.25"/>
  <cols>
    <col min="1" max="1" width="5" customWidth="1"/>
    <col min="2" max="2" width="22" customWidth="1"/>
    <col min="3" max="5" width="18" customWidth="1"/>
    <col min="6" max="6" width="16" customWidth="1"/>
  </cols>
  <sheetData>
    <row r="1" spans="1:6" ht="27.95" customHeight="1" x14ac:dyDescent="0.25">
      <c r="A1" s="17" t="s">
        <v>4</v>
      </c>
      <c r="B1" s="15"/>
      <c r="C1" s="15"/>
      <c r="D1" s="15"/>
      <c r="E1" s="15"/>
      <c r="F1" s="15"/>
    </row>
    <row r="2" spans="1:6" ht="36" customHeight="1" x14ac:dyDescent="0.25">
      <c r="A2" s="1" t="s">
        <v>1</v>
      </c>
      <c r="B2" s="1" t="s">
        <v>2</v>
      </c>
      <c r="C2" s="1" t="s">
        <v>5</v>
      </c>
      <c r="D2" s="1" t="s">
        <v>6</v>
      </c>
      <c r="E2" s="1" t="s">
        <v>7</v>
      </c>
      <c r="F2" s="1" t="s">
        <v>8</v>
      </c>
    </row>
    <row r="3" spans="1:6" ht="21.95" customHeight="1" x14ac:dyDescent="0.25">
      <c r="A3" s="2">
        <v>1</v>
      </c>
      <c r="B3" s="3" t="s">
        <v>10</v>
      </c>
      <c r="C3" s="4">
        <f>COUNTIF(Registro!D3:Y3,"SI")+COUNTIF(Registro!D3:Y3,"NO")</f>
        <v>7</v>
      </c>
      <c r="D3" s="4">
        <f>COUNTIF(Registro!D3:Y3,"NO")</f>
        <v>3</v>
      </c>
      <c r="E3" s="4">
        <v>16</v>
      </c>
      <c r="F3" s="8">
        <f>D3*0</f>
        <v>0</v>
      </c>
    </row>
    <row r="4" spans="1:6" ht="21.95" customHeight="1" x14ac:dyDescent="0.25">
      <c r="A4" s="5">
        <v>2</v>
      </c>
      <c r="B4" s="6" t="s">
        <v>11</v>
      </c>
      <c r="C4" s="4">
        <f>COUNTIF(Registro!D4:Y4,"SI")+COUNTIF(Registro!D4:Y4,"NO")</f>
        <v>7</v>
      </c>
      <c r="D4" s="4">
        <f>COUNTIF(Registro!D4:Y4,"NO")</f>
        <v>3</v>
      </c>
      <c r="E4" s="4">
        <v>16</v>
      </c>
      <c r="F4" s="8">
        <f t="shared" ref="F4:F9" si="0">D4*0</f>
        <v>0</v>
      </c>
    </row>
    <row r="5" spans="1:6" ht="21.95" customHeight="1" x14ac:dyDescent="0.25">
      <c r="A5" s="2">
        <v>3</v>
      </c>
      <c r="B5" s="3" t="s">
        <v>12</v>
      </c>
      <c r="C5" s="4">
        <f>COUNTIF(Registro!D5:Y5,"SI")+COUNTIF(Registro!D5:Y5,"NO")</f>
        <v>7</v>
      </c>
      <c r="D5" s="4">
        <f>COUNTIF(Registro!D5:Y5,"NO")</f>
        <v>3</v>
      </c>
      <c r="E5" s="4">
        <v>16</v>
      </c>
      <c r="F5" s="8">
        <f t="shared" si="0"/>
        <v>0</v>
      </c>
    </row>
    <row r="6" spans="1:6" ht="21.95" customHeight="1" x14ac:dyDescent="0.25">
      <c r="A6" s="5">
        <v>4</v>
      </c>
      <c r="B6" s="6" t="s">
        <v>13</v>
      </c>
      <c r="C6" s="4">
        <f>COUNTIF(Registro!D6:Y6,"SI")+COUNTIF(Registro!D6:Y6,"NO")</f>
        <v>7</v>
      </c>
      <c r="D6" s="4">
        <f>COUNTIF(Registro!D6:Y6,"NO")</f>
        <v>7</v>
      </c>
      <c r="E6" s="4">
        <v>16</v>
      </c>
      <c r="F6" s="8">
        <f t="shared" si="0"/>
        <v>0</v>
      </c>
    </row>
    <row r="7" spans="1:6" ht="21.95" customHeight="1" x14ac:dyDescent="0.25">
      <c r="A7" s="2">
        <v>5</v>
      </c>
      <c r="B7" s="3" t="s">
        <v>14</v>
      </c>
      <c r="C7" s="4">
        <f>COUNTIF(Registro!D7:Y7,"SI")+COUNTIF(Registro!D7:Y7,"NO")</f>
        <v>7</v>
      </c>
      <c r="D7" s="4">
        <f>COUNTIF(Registro!D7:Y7,"NO")</f>
        <v>3</v>
      </c>
      <c r="E7" s="4">
        <v>16</v>
      </c>
      <c r="F7" s="8">
        <f t="shared" si="0"/>
        <v>0</v>
      </c>
    </row>
    <row r="8" spans="1:6" x14ac:dyDescent="0.25">
      <c r="B8" s="9" t="s">
        <v>15</v>
      </c>
      <c r="C8" s="4">
        <f>COUNTIF(Registro!D8:Y8,"SI")+COUNTIF(Registro!D8:Y8,"NO")</f>
        <v>7</v>
      </c>
      <c r="D8" s="4">
        <f>COUNTIF(Registro!D8:Y8,"NO")</f>
        <v>5</v>
      </c>
      <c r="E8" s="4">
        <v>16</v>
      </c>
      <c r="F8" s="8">
        <f t="shared" si="0"/>
        <v>0</v>
      </c>
    </row>
    <row r="9" spans="1:6" x14ac:dyDescent="0.25">
      <c r="B9" s="10" t="s">
        <v>16</v>
      </c>
      <c r="C9" s="4">
        <f>COUNTIF(Registro!D9:Y9,"SI")+COUNTIF(Registro!D9:Y9,"NO")</f>
        <v>7</v>
      </c>
      <c r="D9" s="4">
        <f>COUNTIF(Registro!D9:Y9,"NO")</f>
        <v>4</v>
      </c>
      <c r="E9" s="4">
        <v>16</v>
      </c>
      <c r="F9" s="8">
        <f t="shared" si="0"/>
        <v>0</v>
      </c>
    </row>
    <row r="14" spans="1:6" x14ac:dyDescent="0.25">
      <c r="A14" s="18" t="s">
        <v>9</v>
      </c>
      <c r="B14" s="15"/>
      <c r="C14" s="15"/>
      <c r="D14" s="15"/>
      <c r="E14" s="15"/>
      <c r="F14" s="15"/>
    </row>
  </sheetData>
  <mergeCells count="2">
    <mergeCell ref="A1:F1"/>
    <mergeCell ref="A14:F1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Registro</vt:lpstr>
      <vt:lpstr>Multas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Marissa Martínez García</cp:lastModifiedBy>
  <dcterms:created xsi:type="dcterms:W3CDTF">2026-06-16T23:17:24Z</dcterms:created>
  <dcterms:modified xsi:type="dcterms:W3CDTF">2026-06-29T22:53:21Z</dcterms:modified>
</cp:coreProperties>
</file>